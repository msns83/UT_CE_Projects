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jidsadeghinejad/Desktop/"/>
    </mc:Choice>
  </mc:AlternateContent>
  <xr:revisionPtr revIDLastSave="0" documentId="13_ncr:1_{FCFB9397-8403-9143-A13F-F59B3F43BE43}" xr6:coauthVersionLast="47" xr6:coauthVersionMax="47" xr10:uidLastSave="{00000000-0000-0000-0000-000000000000}"/>
  <bookViews>
    <workbookView xWindow="0" yWindow="660" windowWidth="30240" windowHeight="17040" activeTab="1" xr2:uid="{00000000-000D-0000-FFFF-FFFF00000000}"/>
  </bookViews>
  <sheets>
    <sheet name="Assumptions" sheetId="1" r:id="rId1"/>
    <sheet name="Cost Estim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2" l="1"/>
  <c r="K15" i="2"/>
  <c r="M15" i="2" s="1"/>
  <c r="K16" i="2"/>
  <c r="M16" i="2" s="1"/>
  <c r="K18" i="2"/>
  <c r="M18" i="2" s="1"/>
  <c r="K21" i="2"/>
  <c r="M21" i="2" s="1"/>
  <c r="K22" i="2"/>
  <c r="M22" i="2" s="1"/>
  <c r="K28" i="2"/>
  <c r="M28" i="2" s="1"/>
  <c r="K13" i="2"/>
  <c r="M13" i="2" s="1"/>
  <c r="K12" i="2"/>
  <c r="M19" i="2"/>
  <c r="B4" i="1"/>
  <c r="L28" i="2"/>
  <c r="L22" i="2"/>
  <c r="L21" i="2"/>
  <c r="L18" i="2"/>
  <c r="L16" i="2"/>
  <c r="L15" i="2"/>
  <c r="L13" i="2"/>
  <c r="L12" i="2"/>
  <c r="M12" i="2" l="1"/>
  <c r="N27" i="2"/>
  <c r="N17" i="2"/>
  <c r="N14" i="2" l="1"/>
  <c r="N20" i="2"/>
  <c r="M24" i="2" l="1"/>
  <c r="M26" i="2"/>
  <c r="N26" i="2" s="1"/>
  <c r="N23" i="2"/>
  <c r="N11" i="2" l="1"/>
  <c r="M30" i="2" s="1"/>
  <c r="N31" i="2" l="1"/>
  <c r="N32" i="2" l="1"/>
  <c r="O31" i="2"/>
  <c r="O23" i="2" l="1"/>
  <c r="O26" i="2"/>
  <c r="O32" i="2"/>
  <c r="O17" i="2"/>
  <c r="O20" i="2"/>
  <c r="O11" i="2"/>
  <c r="O14" i="2"/>
  <c r="O27" i="2"/>
</calcChain>
</file>

<file path=xl/sharedStrings.xml><?xml version="1.0" encoding="utf-8"?>
<sst xmlns="http://schemas.openxmlformats.org/spreadsheetml/2006/main" count="46" uniqueCount="44">
  <si>
    <t>Project Cost Estimate - Elder Care Robot Product</t>
  </si>
  <si>
    <t>Assumption</t>
  </si>
  <si>
    <t>Value</t>
  </si>
  <si>
    <t>Project duration (months)</t>
  </si>
  <si>
    <t>Estimated working hours per month</t>
  </si>
  <si>
    <t>Employee hourly rate (Toman)</t>
  </si>
  <si>
    <t>Trainee hourly rate (Toman)</t>
  </si>
  <si>
    <t>Hardware contractor hourly rate (Toman)</t>
  </si>
  <si>
    <t>Contingency percentage</t>
  </si>
  <si>
    <t>Cost unit</t>
  </si>
  <si>
    <t>Toman</t>
  </si>
  <si>
    <t>Qty</t>
  </si>
  <si>
    <t>Months</t>
  </si>
  <si>
    <t>Allocation</t>
  </si>
  <si>
    <t>Project Manager</t>
  </si>
  <si>
    <t>AI Developers</t>
  </si>
  <si>
    <t>Prototype robot parts, sensors, boards, actuators and casing</t>
  </si>
  <si>
    <t>Software Developers</t>
  </si>
  <si>
    <t>Marketing Employees</t>
  </si>
  <si>
    <t>Subtotal</t>
  </si>
  <si>
    <t>WBS Items</t>
  </si>
  <si>
    <t>0. Project Management</t>
  </si>
  <si>
    <t>1. AI Development</t>
  </si>
  <si>
    <t>2. Hardware Development</t>
  </si>
  <si>
    <t>3. Software Development</t>
  </si>
  <si>
    <t>4. Software-Hardware Integration</t>
  </si>
  <si>
    <t>5. Software / Hardware / AI Test</t>
  </si>
  <si>
    <t>6. Marketing Before Launch</t>
  </si>
  <si>
    <t>Trainee Team Member</t>
  </si>
  <si>
    <t>WBS Level 2 Subtotals</t>
  </si>
  <si>
    <t>Outside Contractors</t>
  </si>
  <si>
    <t>7. Contigency Reserves</t>
  </si>
  <si>
    <t>Total Project Cost Estimate</t>
  </si>
  <si>
    <t>Units and Hrs.</t>
  </si>
  <si>
    <t>Prototype Robots</t>
  </si>
  <si>
    <t>Servers</t>
  </si>
  <si>
    <t>Integration</t>
  </si>
  <si>
    <t>20% of total software / hardware / Ai development cost</t>
  </si>
  <si>
    <t>Subtotal (Cost Definitive Estimate)</t>
  </si>
  <si>
    <t>10% of total software / hardware / Ai development cost</t>
  </si>
  <si>
    <t>Notes</t>
  </si>
  <si>
    <t>Cost / (Unit and Hrs.)</t>
  </si>
  <si>
    <t>% of Total Cost</t>
  </si>
  <si>
    <t>Advertising Campaigns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</si>
</sst>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Toman&quot;"/>
    <numFmt numFmtId="165" formatCode="0.0%"/>
  </numFmts>
  <fonts count="11">
    <font>
      <sz val="11"/>
      <name val="Carlito"/>
    </font>
    <font>
      <sz val="11"/>
      <name val="Carlito"/>
    </font>
    <font>
      <sz val="11"/>
      <name val="Vazirmatn"/>
    </font>
    <font>
      <b/>
      <sz val="11"/>
      <color rgb="FFFFFFFF"/>
      <name val="Vazirmatn"/>
    </font>
    <font>
      <b/>
      <sz val="11"/>
      <name val="Vazirmatn"/>
    </font>
    <font>
      <sz val="11"/>
      <color theme="1"/>
      <name val="Vazirmatn"/>
    </font>
    <font>
      <b/>
      <sz val="11"/>
      <color theme="0"/>
      <name val="Vazirmatn"/>
    </font>
    <font>
      <sz val="11"/>
      <color rgb="FF000000"/>
      <name val="Vazirmatn"/>
    </font>
    <font>
      <sz val="11"/>
      <color rgb="FFFF0000"/>
      <name val="Vazirmatn"/>
    </font>
    <font>
      <b/>
      <sz val="11"/>
      <color rgb="FFFF0000"/>
      <name val="Vazirmatn"/>
    </font>
    <font>
      <b/>
      <sz val="14"/>
      <color theme="0"/>
      <name val="Vazirmatn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rgb="FF47D359"/>
      </right>
      <top style="thin">
        <color rgb="FF47D359"/>
      </top>
      <bottom style="thin">
        <color rgb="FF47D3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2" fontId="2" fillId="0" borderId="0" xfId="0" applyNumberFormat="1" applyFont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2" fillId="0" borderId="0" xfId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8" fillId="0" borderId="0" xfId="0" applyNumberFormat="1" applyFont="1"/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 vertical="center"/>
    </xf>
    <xf numFmtId="0" fontId="6" fillId="4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9" fontId="2" fillId="0" borderId="0" xfId="0" applyNumberFormat="1" applyFont="1" applyAlignment="1">
      <alignment horizontal="left" vertical="center" wrapText="1"/>
    </xf>
    <xf numFmtId="165" fontId="2" fillId="0" borderId="0" xfId="1" applyNumberFormat="1" applyFont="1" applyAlignment="1">
      <alignment horizontal="left" vertical="center"/>
    </xf>
    <xf numFmtId="0" fontId="10" fillId="4" borderId="3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3">
    <dxf>
      <font>
        <strike val="0"/>
        <outline val="0"/>
        <shadow val="0"/>
        <u val="none"/>
        <vertAlign val="baseline"/>
        <sz val="11"/>
        <name val="Vazirmatn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azirmatn"/>
        <scheme val="none"/>
      </font>
      <numFmt numFmtId="165" formatCode="0.0%"/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Vazirmatn"/>
        <scheme val="none"/>
      </font>
      <numFmt numFmtId="164" formatCode="#,##0\ &quot;Toman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azirmat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azirmat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azirmat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azirmat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azirmat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azirmat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azirmat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azirmatn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azirmat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azirmatn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stEstimateTable" displayName="CostEstimateTable" ref="G10:O32" headerRowDxfId="12" dataDxfId="11" totalsRowDxfId="10">
  <autoFilter ref="G10:O32" xr:uid="{00000000-000C-0000-FFFF-FFFF00000000}"/>
  <tableColumns count="9">
    <tableColumn id="2" xr3:uid="{00000000-0010-0000-0000-000002000000}" name="WBS Items" dataDxfId="9"/>
    <tableColumn id="5" xr3:uid="{00000000-0010-0000-0000-000005000000}" name="Qty" dataDxfId="8"/>
    <tableColumn id="6" xr3:uid="{00000000-0010-0000-0000-000006000000}" name="Months" dataDxfId="7"/>
    <tableColumn id="7" xr3:uid="{00000000-0010-0000-0000-000007000000}" name="Allocation" dataDxfId="6"/>
    <tableColumn id="8" xr3:uid="{00000000-0010-0000-0000-000008000000}" name="Units and Hrs." dataDxfId="5"/>
    <tableColumn id="9" xr3:uid="{00000000-0010-0000-0000-000009000000}" name="Cost / (Unit and Hrs.)" dataDxfId="4"/>
    <tableColumn id="10" xr3:uid="{00000000-0010-0000-0000-00000A000000}" name="Subtotal" dataDxfId="3"/>
    <tableColumn id="11" xr3:uid="{00000000-0010-0000-0000-00000B000000}" name="WBS Level 2 Subtotals" dataDxfId="2">
      <calculatedColumnFormula>SUM(M12:M13)</calculatedColumnFormula>
    </tableColumn>
    <tableColumn id="1" xr3:uid="{63F458B1-76D7-C644-BCD8-961CFE458032}" name="% of Total Cost" dataDxfId="1" totalsRowDxfId="0" dataCellStyle="Percent">
      <calculatedColumnFormula>CostEstimateTable[[#This Row],[WBS Level 2 Subtotals]]/$N$32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113" workbookViewId="0">
      <selection activeCell="A15" sqref="A15"/>
    </sheetView>
  </sheetViews>
  <sheetFormatPr baseColWidth="10" defaultColWidth="8.83203125" defaultRowHeight="18"/>
  <cols>
    <col min="1" max="1" width="58.33203125" style="1" bestFit="1" customWidth="1"/>
    <col min="2" max="2" width="74" style="1" bestFit="1" customWidth="1"/>
    <col min="3" max="16384" width="8.83203125" style="1"/>
  </cols>
  <sheetData>
    <row r="1" spans="1:2" ht="19" customHeight="1">
      <c r="A1" s="27" t="s">
        <v>0</v>
      </c>
      <c r="B1" s="27"/>
    </row>
    <row r="2" spans="1:2" ht="19">
      <c r="A2" s="22" t="s">
        <v>1</v>
      </c>
      <c r="B2" s="22" t="s">
        <v>2</v>
      </c>
    </row>
    <row r="3" spans="1:2" ht="19">
      <c r="A3" s="23" t="s">
        <v>3</v>
      </c>
      <c r="B3" s="23">
        <v>12</v>
      </c>
    </row>
    <row r="4" spans="1:2" ht="19">
      <c r="A4" s="23" t="s">
        <v>4</v>
      </c>
      <c r="B4" s="24">
        <f>44*4</f>
        <v>176</v>
      </c>
    </row>
    <row r="5" spans="1:2" ht="19">
      <c r="A5" s="23" t="s">
        <v>5</v>
      </c>
      <c r="B5" s="24">
        <v>500000</v>
      </c>
    </row>
    <row r="6" spans="1:2" ht="19">
      <c r="A6" s="23" t="s">
        <v>6</v>
      </c>
      <c r="B6" s="24">
        <v>250000</v>
      </c>
    </row>
    <row r="7" spans="1:2" ht="19">
      <c r="A7" s="23" t="s">
        <v>7</v>
      </c>
      <c r="B7" s="24">
        <v>500000</v>
      </c>
    </row>
    <row r="8" spans="1:2" ht="19">
      <c r="A8" s="23" t="s">
        <v>8</v>
      </c>
      <c r="B8" s="25">
        <v>0.2</v>
      </c>
    </row>
    <row r="9" spans="1:2" ht="19">
      <c r="A9" s="23" t="s">
        <v>9</v>
      </c>
      <c r="B9" s="23" t="s">
        <v>10</v>
      </c>
    </row>
    <row r="10" spans="1:2">
      <c r="A10" s="23"/>
      <c r="B10" s="23"/>
    </row>
    <row r="11" spans="1:2">
      <c r="A11" s="23"/>
      <c r="B11" s="23"/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G9:Q33"/>
  <sheetViews>
    <sheetView tabSelected="1" topLeftCell="E4" zoomScale="93" workbookViewId="0">
      <selection activeCell="F10" sqref="F10"/>
    </sheetView>
  </sheetViews>
  <sheetFormatPr baseColWidth="10" defaultColWidth="8.83203125" defaultRowHeight="18"/>
  <cols>
    <col min="1" max="1" width="25.5" style="1" bestFit="1" customWidth="1"/>
    <col min="2" max="2" width="14.83203125" style="1" bestFit="1" customWidth="1"/>
    <col min="3" max="3" width="36" style="1" customWidth="1"/>
    <col min="4" max="4" width="8" style="1" customWidth="1"/>
    <col min="5" max="6" width="10" style="1" customWidth="1"/>
    <col min="7" max="7" width="30.6640625" style="1" bestFit="1" customWidth="1"/>
    <col min="8" max="8" width="9.33203125" style="1" customWidth="1"/>
    <col min="9" max="9" width="13" style="1" bestFit="1" customWidth="1"/>
    <col min="10" max="10" width="15.1640625" style="1" bestFit="1" customWidth="1"/>
    <col min="11" max="11" width="18.6640625" style="1" bestFit="1" customWidth="1"/>
    <col min="12" max="12" width="25.1640625" style="1" bestFit="1" customWidth="1"/>
    <col min="13" max="13" width="22.1640625" style="1" bestFit="1" customWidth="1"/>
    <col min="14" max="14" width="22.83203125" style="9" bestFit="1" customWidth="1"/>
    <col min="15" max="15" width="16.5" style="1" bestFit="1" customWidth="1"/>
    <col min="16" max="16" width="8.83203125" style="1"/>
    <col min="17" max="17" width="52.5" style="1" bestFit="1" customWidth="1"/>
    <col min="18" max="16384" width="8.83203125" style="1"/>
  </cols>
  <sheetData>
    <row r="9" spans="7:17">
      <c r="H9" s="9"/>
      <c r="I9" s="9"/>
      <c r="J9" s="9"/>
      <c r="K9" s="9"/>
      <c r="L9" s="9"/>
      <c r="M9" s="9"/>
    </row>
    <row r="10" spans="7:17">
      <c r="G10" s="2" t="s">
        <v>20</v>
      </c>
      <c r="H10" s="10" t="s">
        <v>11</v>
      </c>
      <c r="I10" s="10" t="s">
        <v>12</v>
      </c>
      <c r="J10" s="10" t="s">
        <v>13</v>
      </c>
      <c r="K10" s="10" t="s">
        <v>33</v>
      </c>
      <c r="L10" s="10" t="s">
        <v>41</v>
      </c>
      <c r="M10" s="10" t="s">
        <v>19</v>
      </c>
      <c r="N10" s="9" t="s">
        <v>29</v>
      </c>
      <c r="O10" s="1" t="s">
        <v>42</v>
      </c>
      <c r="Q10" s="13" t="s">
        <v>40</v>
      </c>
    </row>
    <row r="11" spans="7:17">
      <c r="G11" s="4" t="s">
        <v>21</v>
      </c>
      <c r="H11" s="6"/>
      <c r="I11" s="6"/>
      <c r="J11" s="6"/>
      <c r="K11" s="6"/>
      <c r="L11" s="6"/>
      <c r="M11" s="6"/>
      <c r="N11" s="18">
        <f t="shared" ref="N11" si="0">SUM(M12:M13)</f>
        <v>1320000000</v>
      </c>
      <c r="O11" s="26">
        <f>CostEstimateTable[[#This Row],[WBS Level 2 Subtotals]]/$N$32</f>
        <v>5.2024214907302309E-2</v>
      </c>
      <c r="Q11" s="14"/>
    </row>
    <row r="12" spans="7:17">
      <c r="G12" s="5" t="s">
        <v>14</v>
      </c>
      <c r="H12" s="12">
        <v>1</v>
      </c>
      <c r="I12" s="12">
        <v>12</v>
      </c>
      <c r="J12" s="11">
        <v>1</v>
      </c>
      <c r="K12" s="12">
        <f>CostEstimateTable[[#This Row],[Qty]]*CostEstimateTable[[#This Row],[Months]]*CostEstimateTable[[#This Row],[Allocation]]*Assumptions!$B$4</f>
        <v>2112</v>
      </c>
      <c r="L12" s="8">
        <f>Assumptions!$B$5</f>
        <v>500000</v>
      </c>
      <c r="M12" s="8">
        <f>CostEstimateTable[[#This Row],[Units and Hrs.]]*CostEstimateTable[[#This Row],[Cost / (Unit and Hrs.)]]</f>
        <v>1056000000</v>
      </c>
      <c r="N12" s="18"/>
      <c r="O12" s="26"/>
      <c r="Q12" s="15"/>
    </row>
    <row r="13" spans="7:17">
      <c r="G13" s="5" t="s">
        <v>28</v>
      </c>
      <c r="H13" s="12">
        <v>1</v>
      </c>
      <c r="I13" s="12">
        <v>6</v>
      </c>
      <c r="J13" s="11">
        <v>1</v>
      </c>
      <c r="K13" s="12">
        <f>CostEstimateTable[[#This Row],[Qty]]*CostEstimateTable[[#This Row],[Months]]*CostEstimateTable[[#This Row],[Allocation]]*Assumptions!$B$4</f>
        <v>1056</v>
      </c>
      <c r="L13" s="8">
        <f>Assumptions!$B$6</f>
        <v>250000</v>
      </c>
      <c r="M13" s="8">
        <f>CostEstimateTable[[#This Row],[Units and Hrs.]]*CostEstimateTable[[#This Row],[Cost / (Unit and Hrs.)]]</f>
        <v>264000000</v>
      </c>
      <c r="N13" s="18"/>
      <c r="O13" s="26"/>
      <c r="Q13" s="16"/>
    </row>
    <row r="14" spans="7:17">
      <c r="G14" s="4" t="s">
        <v>22</v>
      </c>
      <c r="H14" s="7"/>
      <c r="I14" s="7"/>
      <c r="J14" s="11"/>
      <c r="K14" s="12"/>
      <c r="L14" s="8"/>
      <c r="M14" s="8"/>
      <c r="N14" s="18">
        <f>SUM(M15:M16)</f>
        <v>3432000000</v>
      </c>
      <c r="O14" s="26">
        <f>CostEstimateTable[[#This Row],[WBS Level 2 Subtotals]]/$N$32</f>
        <v>0.135262958758986</v>
      </c>
      <c r="Q14" s="15"/>
    </row>
    <row r="15" spans="7:17">
      <c r="G15" s="5" t="s">
        <v>15</v>
      </c>
      <c r="H15" s="12">
        <v>3</v>
      </c>
      <c r="I15" s="12">
        <v>12</v>
      </c>
      <c r="J15" s="11">
        <v>1</v>
      </c>
      <c r="K15" s="12">
        <f>CostEstimateTable[[#This Row],[Qty]]*CostEstimateTable[[#This Row],[Months]]*CostEstimateTable[[#This Row],[Allocation]]*Assumptions!$B$4</f>
        <v>6336</v>
      </c>
      <c r="L15" s="8">
        <f>Assumptions!$B$5</f>
        <v>500000</v>
      </c>
      <c r="M15" s="8">
        <f>CostEstimateTable[[#This Row],[Units and Hrs.]]*CostEstimateTable[[#This Row],[Cost / (Unit and Hrs.)]]</f>
        <v>3168000000</v>
      </c>
      <c r="N15" s="18"/>
      <c r="O15" s="26"/>
      <c r="Q15" s="16"/>
    </row>
    <row r="16" spans="7:17">
      <c r="G16" s="5" t="s">
        <v>28</v>
      </c>
      <c r="H16" s="12">
        <v>1</v>
      </c>
      <c r="I16" s="12">
        <v>6</v>
      </c>
      <c r="J16" s="11">
        <v>1</v>
      </c>
      <c r="K16" s="12">
        <f>CostEstimateTable[[#This Row],[Qty]]*CostEstimateTable[[#This Row],[Months]]*CostEstimateTable[[#This Row],[Allocation]]*Assumptions!$B$4</f>
        <v>1056</v>
      </c>
      <c r="L16" s="8">
        <f>Assumptions!$B$6</f>
        <v>250000</v>
      </c>
      <c r="M16" s="8">
        <f>CostEstimateTable[[#This Row],[Units and Hrs.]]*CostEstimateTable[[#This Row],[Cost / (Unit and Hrs.)]]</f>
        <v>264000000</v>
      </c>
      <c r="N16" s="18"/>
      <c r="O16" s="26"/>
      <c r="Q16" s="15"/>
    </row>
    <row r="17" spans="7:17">
      <c r="G17" s="4" t="s">
        <v>23</v>
      </c>
      <c r="H17" s="12"/>
      <c r="I17" s="12"/>
      <c r="J17" s="11"/>
      <c r="K17" s="12"/>
      <c r="L17" s="8"/>
      <c r="M17" s="8"/>
      <c r="N17" s="18">
        <f>SUM(M18:M19)</f>
        <v>6056000000</v>
      </c>
      <c r="O17" s="26">
        <f>CostEstimateTable[[#This Row],[WBS Level 2 Subtotals]]/$N$32</f>
        <v>0.23868079202925968</v>
      </c>
      <c r="Q17" s="16"/>
    </row>
    <row r="18" spans="7:17">
      <c r="G18" s="5" t="s">
        <v>30</v>
      </c>
      <c r="H18" s="12">
        <v>2</v>
      </c>
      <c r="I18" s="12">
        <v>12</v>
      </c>
      <c r="J18" s="11">
        <v>0.5</v>
      </c>
      <c r="K18" s="12">
        <f>CostEstimateTable[[#This Row],[Qty]]*CostEstimateTable[[#This Row],[Months]]*CostEstimateTable[[#This Row],[Allocation]]*Assumptions!$B$4</f>
        <v>2112</v>
      </c>
      <c r="L18" s="8">
        <f>Assumptions!$B$7</f>
        <v>500000</v>
      </c>
      <c r="M18" s="8">
        <f>CostEstimateTable[[#This Row],[Units and Hrs.]]*CostEstimateTable[[#This Row],[Cost / (Unit and Hrs.)]]</f>
        <v>1056000000</v>
      </c>
      <c r="N18" s="18"/>
      <c r="O18" s="26"/>
      <c r="Q18" s="15"/>
    </row>
    <row r="19" spans="7:17">
      <c r="G19" s="5" t="s">
        <v>34</v>
      </c>
      <c r="H19" s="12">
        <v>100</v>
      </c>
      <c r="I19" s="12"/>
      <c r="J19" s="11"/>
      <c r="K19" s="12"/>
      <c r="L19" s="8">
        <v>50000000</v>
      </c>
      <c r="M19" s="8">
        <f>H19*L19</f>
        <v>5000000000</v>
      </c>
      <c r="N19" s="18"/>
      <c r="O19" s="26"/>
      <c r="Q19" s="16" t="s">
        <v>16</v>
      </c>
    </row>
    <row r="20" spans="7:17">
      <c r="G20" s="4" t="s">
        <v>24</v>
      </c>
      <c r="H20" s="12"/>
      <c r="I20" s="12"/>
      <c r="J20" s="11"/>
      <c r="K20" s="12"/>
      <c r="L20" s="8"/>
      <c r="M20" s="8"/>
      <c r="N20" s="18">
        <f>SUM(M21:M22)</f>
        <v>3432000000</v>
      </c>
      <c r="O20" s="26">
        <f>CostEstimateTable[[#This Row],[WBS Level 2 Subtotals]]/$N$32</f>
        <v>0.135262958758986</v>
      </c>
      <c r="Q20" s="15"/>
    </row>
    <row r="21" spans="7:17">
      <c r="G21" s="5" t="s">
        <v>17</v>
      </c>
      <c r="H21" s="12">
        <v>3</v>
      </c>
      <c r="I21" s="12">
        <v>12</v>
      </c>
      <c r="J21" s="11">
        <v>1</v>
      </c>
      <c r="K21" s="12">
        <f>CostEstimateTable[[#This Row],[Qty]]*CostEstimateTable[[#This Row],[Months]]*CostEstimateTable[[#This Row],[Allocation]]*Assumptions!$B$4</f>
        <v>6336</v>
      </c>
      <c r="L21" s="8">
        <f>Assumptions!$B$5</f>
        <v>500000</v>
      </c>
      <c r="M21" s="8">
        <f>CostEstimateTable[[#This Row],[Units and Hrs.]]*CostEstimateTable[[#This Row],[Cost / (Unit and Hrs.)]]</f>
        <v>3168000000</v>
      </c>
      <c r="N21" s="18"/>
      <c r="O21" s="26"/>
      <c r="Q21" s="16"/>
    </row>
    <row r="22" spans="7:17">
      <c r="G22" s="5" t="s">
        <v>28</v>
      </c>
      <c r="H22" s="12">
        <v>1</v>
      </c>
      <c r="I22" s="12">
        <v>6</v>
      </c>
      <c r="J22" s="11">
        <v>1</v>
      </c>
      <c r="K22" s="12">
        <f>CostEstimateTable[[#This Row],[Qty]]*CostEstimateTable[[#This Row],[Months]]*CostEstimateTable[[#This Row],[Allocation]]*Assumptions!$B$4</f>
        <v>1056</v>
      </c>
      <c r="L22" s="8">
        <f>Assumptions!$B$6</f>
        <v>250000</v>
      </c>
      <c r="M22" s="8">
        <f>CostEstimateTable[[#This Row],[Units and Hrs.]]*CostEstimateTable[[#This Row],[Cost / (Unit and Hrs.)]]</f>
        <v>264000000</v>
      </c>
      <c r="N22" s="18"/>
      <c r="O22" s="26"/>
      <c r="Q22" s="15"/>
    </row>
    <row r="23" spans="7:17">
      <c r="G23" s="4" t="s">
        <v>25</v>
      </c>
      <c r="H23" s="12"/>
      <c r="I23" s="12"/>
      <c r="J23" s="11"/>
      <c r="K23" s="12"/>
      <c r="L23" s="8"/>
      <c r="M23" s="8"/>
      <c r="N23" s="18">
        <f>SUM(M24:M25)</f>
        <v>3584000000</v>
      </c>
      <c r="O23" s="26">
        <f>CostEstimateTable[[#This Row],[WBS Level 2 Subtotals]]/$N$32</f>
        <v>0.14125362593012991</v>
      </c>
      <c r="Q23" s="16"/>
    </row>
    <row r="24" spans="7:17">
      <c r="G24" s="5" t="s">
        <v>36</v>
      </c>
      <c r="H24" s="12"/>
      <c r="I24" s="12"/>
      <c r="J24" s="11"/>
      <c r="K24" s="12"/>
      <c r="L24" s="8"/>
      <c r="M24" s="8">
        <f>(N14+N17+N20)*0.2</f>
        <v>2584000000</v>
      </c>
      <c r="N24" s="18"/>
      <c r="O24" s="26"/>
      <c r="Q24" s="15" t="s">
        <v>37</v>
      </c>
    </row>
    <row r="25" spans="7:17">
      <c r="G25" s="5" t="s">
        <v>35</v>
      </c>
      <c r="H25" s="12">
        <v>2</v>
      </c>
      <c r="I25" s="12"/>
      <c r="J25" s="11"/>
      <c r="K25" s="12"/>
      <c r="L25" s="8">
        <v>500000000</v>
      </c>
      <c r="M25" s="8">
        <f>L25*CostEstimateTable[[#This Row],[Qty]]</f>
        <v>1000000000</v>
      </c>
      <c r="N25" s="18"/>
      <c r="O25" s="26"/>
      <c r="Q25" s="16"/>
    </row>
    <row r="26" spans="7:17">
      <c r="G26" s="4" t="s">
        <v>26</v>
      </c>
      <c r="H26" s="12"/>
      <c r="I26" s="12"/>
      <c r="J26" s="11"/>
      <c r="K26" s="12"/>
      <c r="L26" s="8"/>
      <c r="M26" s="8">
        <f>(N14+N17+N20)*0.1</f>
        <v>1292000000</v>
      </c>
      <c r="N26" s="18">
        <f>CostEstimateTable[[#This Row],[Subtotal]]</f>
        <v>1292000000</v>
      </c>
      <c r="O26" s="26">
        <f>CostEstimateTable[[#This Row],[WBS Level 2 Subtotals]]/$N$32</f>
        <v>5.092067095472317E-2</v>
      </c>
      <c r="Q26" s="17" t="s">
        <v>39</v>
      </c>
    </row>
    <row r="27" spans="7:17">
      <c r="G27" s="4" t="s">
        <v>27</v>
      </c>
      <c r="H27" s="12"/>
      <c r="I27" s="12"/>
      <c r="J27" s="11"/>
      <c r="K27" s="12"/>
      <c r="L27" s="8"/>
      <c r="M27" s="8"/>
      <c r="N27" s="18">
        <f>SUM(M28:M29)</f>
        <v>2028000000</v>
      </c>
      <c r="O27" s="26">
        <f>CostEstimateTable[[#This Row],[WBS Level 2 Subtotals]]/$N$32</f>
        <v>7.9928111993946269E-2</v>
      </c>
      <c r="Q27" s="16"/>
    </row>
    <row r="28" spans="7:17">
      <c r="G28" s="5" t="s">
        <v>18</v>
      </c>
      <c r="H28" s="12">
        <v>2</v>
      </c>
      <c r="I28" s="12">
        <v>3</v>
      </c>
      <c r="J28" s="11">
        <v>1</v>
      </c>
      <c r="K28" s="12">
        <f>CostEstimateTable[[#This Row],[Qty]]*CostEstimateTable[[#This Row],[Months]]*CostEstimateTable[[#This Row],[Allocation]]*Assumptions!$B$4</f>
        <v>1056</v>
      </c>
      <c r="L28" s="8">
        <f>Assumptions!$B$5</f>
        <v>500000</v>
      </c>
      <c r="M28" s="8">
        <f>CostEstimateTable[[#This Row],[Units and Hrs.]]*CostEstimateTable[[#This Row],[Cost / (Unit and Hrs.)]]</f>
        <v>528000000</v>
      </c>
      <c r="N28" s="18"/>
      <c r="O28" s="26"/>
      <c r="Q28" s="15"/>
    </row>
    <row r="29" spans="7:17">
      <c r="G29" s="5" t="s">
        <v>43</v>
      </c>
      <c r="H29" s="12"/>
      <c r="I29" s="12"/>
      <c r="J29" s="11"/>
      <c r="K29" s="12"/>
      <c r="L29" s="8"/>
      <c r="M29" s="8">
        <v>1500000000</v>
      </c>
      <c r="N29" s="18"/>
      <c r="O29" s="26"/>
      <c r="Q29" s="16"/>
    </row>
    <row r="30" spans="7:17">
      <c r="G30" s="21" t="s">
        <v>38</v>
      </c>
      <c r="H30" s="12"/>
      <c r="I30" s="12"/>
      <c r="J30" s="11"/>
      <c r="K30" s="12"/>
      <c r="L30" s="8"/>
      <c r="M30" s="19">
        <f>SUM(N11,N14,N17,N20,N23,N26,N27)</f>
        <v>21144000000</v>
      </c>
      <c r="N30" s="18"/>
      <c r="O30" s="26"/>
      <c r="Q30" s="15"/>
    </row>
    <row r="31" spans="7:17">
      <c r="G31" s="4" t="s">
        <v>31</v>
      </c>
      <c r="H31" s="12"/>
      <c r="I31" s="12"/>
      <c r="J31" s="11"/>
      <c r="K31" s="7"/>
      <c r="L31" s="8"/>
      <c r="M31" s="8"/>
      <c r="N31" s="18">
        <f>M30*0.2</f>
        <v>4228800000</v>
      </c>
      <c r="O31" s="26">
        <f>CostEstimateTable[[#This Row],[WBS Level 2 Subtotals]]/$N$32</f>
        <v>0.16666666666666666</v>
      </c>
      <c r="Q31" s="16"/>
    </row>
    <row r="32" spans="7:17">
      <c r="G32" s="21" t="s">
        <v>32</v>
      </c>
      <c r="H32" s="12"/>
      <c r="I32" s="12"/>
      <c r="J32" s="11"/>
      <c r="K32" s="7"/>
      <c r="L32" s="8"/>
      <c r="M32" s="8"/>
      <c r="N32" s="20">
        <f>SUM(N11,N14,N17,N20,N23,N26,N27,N31)</f>
        <v>25372800000</v>
      </c>
      <c r="O32" s="26">
        <f>CostEstimateTable[[#This Row],[WBS Level 2 Subtotals]]/$N$32</f>
        <v>1</v>
      </c>
      <c r="Q32" s="15"/>
    </row>
    <row r="33" spans="8:11">
      <c r="H33" s="3"/>
      <c r="I33" s="3"/>
      <c r="J33" s="3"/>
      <c r="K33" s="3"/>
    </row>
  </sheetData>
  <pageMargins left="0.25" right="0.25" top="0.75" bottom="0.75" header="0.3" footer="0.3"/>
  <pageSetup paperSize="9" scale="39" orientation="landscape" horizontalDpi="0" verticalDpi="0"/>
  <ignoredErrors>
    <ignoredError sqref="N26 N31:N32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Cost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Majid Sadeghinejad</cp:lastModifiedBy>
  <cp:lastPrinted>2026-06-07T02:57:16Z</cp:lastPrinted>
  <dcterms:created xsi:type="dcterms:W3CDTF">2026-06-07T00:17:11Z</dcterms:created>
  <dcterms:modified xsi:type="dcterms:W3CDTF">2026-06-07T03:29:47Z</dcterms:modified>
</cp:coreProperties>
</file>