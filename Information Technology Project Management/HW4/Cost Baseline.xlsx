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jidsadeghinejad/Desktop/"/>
    </mc:Choice>
  </mc:AlternateContent>
  <xr:revisionPtr revIDLastSave="0" documentId="13_ncr:1_{57D915C2-E3AB-DC4A-A6F0-26263AA0AF72}" xr6:coauthVersionLast="47" xr6:coauthVersionMax="47" xr10:uidLastSave="{00000000-0000-0000-0000-000000000000}"/>
  <bookViews>
    <workbookView xWindow="1000" yWindow="960" windowWidth="27640" windowHeight="16300" activeTab="1" xr2:uid="{FF271390-EBA0-D249-813F-4BD6E96FDAEC}"/>
  </bookViews>
  <sheets>
    <sheet name="Assumptions" sheetId="2" r:id="rId1"/>
    <sheet name="Cost Baselin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S30" i="1"/>
  <c r="R30" i="1"/>
  <c r="Q30" i="1"/>
  <c r="P30" i="1"/>
  <c r="O30" i="1"/>
  <c r="N30" i="1"/>
  <c r="M30" i="1"/>
  <c r="L30" i="1"/>
  <c r="K30" i="1"/>
  <c r="J30" i="1"/>
  <c r="S29" i="1"/>
  <c r="R29" i="1"/>
  <c r="Q29" i="1"/>
  <c r="S28" i="1"/>
  <c r="R28" i="1"/>
  <c r="Q28" i="1"/>
  <c r="T27" i="1"/>
  <c r="H25" i="1"/>
  <c r="O24" i="1"/>
  <c r="N24" i="1"/>
  <c r="T23" i="1"/>
  <c r="P22" i="1"/>
  <c r="O22" i="1"/>
  <c r="N22" i="1"/>
  <c r="M22" i="1"/>
  <c r="L22" i="1"/>
  <c r="K22" i="1"/>
  <c r="S21" i="1"/>
  <c r="R21" i="1"/>
  <c r="Q21" i="1"/>
  <c r="P21" i="1"/>
  <c r="O21" i="1"/>
  <c r="N21" i="1"/>
  <c r="M21" i="1"/>
  <c r="L21" i="1"/>
  <c r="K21" i="1"/>
  <c r="J21" i="1"/>
  <c r="I21" i="1"/>
  <c r="H21" i="1"/>
  <c r="T20" i="1"/>
  <c r="H19" i="1"/>
  <c r="S18" i="1"/>
  <c r="R18" i="1"/>
  <c r="Q18" i="1"/>
  <c r="P18" i="1"/>
  <c r="O18" i="1"/>
  <c r="N18" i="1"/>
  <c r="M18" i="1"/>
  <c r="L18" i="1"/>
  <c r="K18" i="1"/>
  <c r="J18" i="1"/>
  <c r="I18" i="1"/>
  <c r="H18" i="1"/>
  <c r="T17" i="1"/>
  <c r="P16" i="1"/>
  <c r="O16" i="1"/>
  <c r="N16" i="1"/>
  <c r="M16" i="1"/>
  <c r="L16" i="1"/>
  <c r="K16" i="1"/>
  <c r="S15" i="1"/>
  <c r="R15" i="1"/>
  <c r="Q15" i="1"/>
  <c r="P15" i="1"/>
  <c r="O15" i="1"/>
  <c r="N15" i="1"/>
  <c r="M15" i="1"/>
  <c r="L15" i="1"/>
  <c r="K15" i="1"/>
  <c r="J15" i="1"/>
  <c r="I15" i="1"/>
  <c r="H15" i="1"/>
  <c r="T14" i="1"/>
  <c r="P13" i="1"/>
  <c r="O13" i="1"/>
  <c r="N13" i="1"/>
  <c r="M13" i="1"/>
  <c r="L13" i="1"/>
  <c r="K13" i="1"/>
  <c r="S12" i="1"/>
  <c r="R12" i="1"/>
  <c r="R31" i="1" s="1"/>
  <c r="Q12" i="1"/>
  <c r="P12" i="1"/>
  <c r="O12" i="1"/>
  <c r="N12" i="1"/>
  <c r="N31" i="1" s="1"/>
  <c r="M12" i="1"/>
  <c r="L12" i="1"/>
  <c r="K12" i="1"/>
  <c r="J12" i="1"/>
  <c r="I12" i="1"/>
  <c r="I31" i="1" s="1"/>
  <c r="H12" i="1"/>
  <c r="T11" i="1"/>
  <c r="T31" i="1" l="1"/>
  <c r="O31" i="1"/>
  <c r="P31" i="1"/>
  <c r="Q31" i="1"/>
  <c r="S31" i="1"/>
  <c r="K31" i="1"/>
  <c r="L31" i="1"/>
  <c r="H31" i="1"/>
  <c r="M31" i="1"/>
  <c r="J31" i="1"/>
</calcChain>
</file>

<file path=xl/sharedStrings.xml><?xml version="1.0" encoding="utf-8"?>
<sst xmlns="http://schemas.openxmlformats.org/spreadsheetml/2006/main" count="46" uniqueCount="44">
  <si>
    <t>WBS Items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</si>
  <si>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</si>
  <si>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</si>
  <si>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</si>
  <si>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</si>
  <si>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</si>
  <si>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</si>
  <si>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</si>
  <si>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</si>
  <si>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</si>
  <si>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</si>
  <si>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</si>
  <si>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</si>
  <si>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Subtotal</t>
  </si>
  <si>
    <t>0. Project Management</t>
  </si>
  <si>
    <t>Project Manager</t>
  </si>
  <si>
    <t>Trainee Team Member</t>
  </si>
  <si>
    <t>1. AI Development</t>
  </si>
  <si>
    <t>AI Developers</t>
  </si>
  <si>
    <t>2. Hardware Development</t>
  </si>
  <si>
    <t>Outside Contractors</t>
  </si>
  <si>
    <t>Prototype Robots</t>
  </si>
  <si>
    <t>3. Software Development</t>
  </si>
  <si>
    <t>Software Developers</t>
  </si>
  <si>
    <t>4. Software-Hardware Integration</t>
  </si>
  <si>
    <t>Integration</t>
  </si>
  <si>
    <t>Servers</t>
  </si>
  <si>
    <t>5. Software / Hardware / AI Test</t>
  </si>
  <si>
    <t>6. Marketing Before Launch</t>
  </si>
  <si>
    <t>Marketing Employees</t>
  </si>
  <si>
    <t>Advertising Campaign</t>
  </si>
  <si>
    <t>7. Contigency Reserves</t>
  </si>
  <si>
    <t>Total</t>
  </si>
  <si>
    <t>Project Cost Estimate - Elder Care Robot Product</t>
  </si>
  <si>
    <t>Assumption</t>
  </si>
  <si>
    <t>Value</t>
  </si>
  <si>
    <t>Project duration (months)</t>
  </si>
  <si>
    <t>Estimated working hours per month</t>
  </si>
  <si>
    <t>Employee hourly rate (Toman)</t>
  </si>
  <si>
    <t>Trainee hourly rate (Toman)</t>
  </si>
  <si>
    <t>Hardware contractor hourly rate (Toman)</t>
  </si>
  <si>
    <t>Contingency percentage</t>
  </si>
  <si>
    <t>Cost unit</t>
  </si>
  <si>
    <t>Toman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</si>
</sst>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Toman&quot;"/>
    <numFmt numFmtId="165" formatCode="0.0%"/>
  </numFmts>
  <fonts count="11">
    <font>
      <sz val="11"/>
      <name val="Carlito"/>
    </font>
    <font>
      <sz val="11"/>
      <name val="Carlito"/>
    </font>
    <font>
      <b/>
      <sz val="11"/>
      <color rgb="FFFFFFFF"/>
      <name val="Vazirmatn"/>
    </font>
    <font>
      <b/>
      <sz val="11"/>
      <color rgb="FF000000"/>
      <name val="Vazirmatn"/>
    </font>
    <font>
      <sz val="11"/>
      <color rgb="FF000000"/>
      <name val="Vazirmatn"/>
    </font>
    <font>
      <sz val="11"/>
      <name val="Vazirmatn"/>
    </font>
    <font>
      <b/>
      <sz val="11"/>
      <name val="Vazirmatn"/>
    </font>
    <font>
      <b/>
      <sz val="11"/>
      <color rgb="FFFF0000"/>
      <name val="Vazirmatn"/>
    </font>
    <font>
      <sz val="11"/>
      <color rgb="FFFF0000"/>
      <name val="Vazirmatn"/>
    </font>
    <font>
      <b/>
      <sz val="14"/>
      <color theme="0"/>
      <name val="Vazirmatn"/>
    </font>
    <font>
      <b/>
      <sz val="11"/>
      <color theme="0"/>
      <name val="Vazirmatn"/>
    </font>
  </fonts>
  <fills count="5">
    <fill>
      <patternFill patternType="none"/>
    </fill>
    <fill>
      <patternFill patternType="gray125"/>
    </fill>
    <fill>
      <patternFill patternType="solid">
        <fgColor rgb="FF196B24"/>
        <bgColor rgb="FF196B24"/>
      </patternFill>
    </fill>
    <fill>
      <patternFill patternType="solid">
        <fgColor rgb="FFC1F0C8"/>
        <bgColor rgb="FFC1F0C8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47D359"/>
      </bottom>
      <diagonal/>
    </border>
    <border>
      <left/>
      <right/>
      <top style="thin">
        <color rgb="FF47D359"/>
      </top>
      <bottom style="thin">
        <color rgb="FF47D3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4" fillId="0" borderId="2" xfId="0" applyNumberFormat="1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9" fontId="5" fillId="0" borderId="0" xfId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/>
    <xf numFmtId="0" fontId="10" fillId="4" borderId="3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center" wrapText="1"/>
    </xf>
    <xf numFmtId="9" fontId="5" fillId="0" borderId="0" xfId="0" applyNumberFormat="1" applyFont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0" xfId="1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9" fillId="4" borderId="3" xfId="0" applyFont="1" applyFill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numFmt numFmtId="164" formatCode="#,##0\ &quot;Toman&quot;"/>
      <alignment horizontal="center" vertical="center" textRotation="0" wrapText="0" indent="0" justifyLastLine="0" shrinkToFit="0" readingOrder="0"/>
    </dxf>
    <dxf>
      <numFmt numFmtId="164" formatCode="#,##0\ &quot;Toman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numFmt numFmtId="164" formatCode="#,##0\ &quot;Toman&quot;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Vazirmatn"/>
        <scheme val="none"/>
      </font>
      <numFmt numFmtId="164" formatCode="#,##0\ &quot;Toman&quot;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rgb="FF47D359"/>
        </top>
        <bottom style="thin">
          <color rgb="FF47D359"/>
        </bottom>
      </border>
    </dxf>
    <dxf>
      <alignment horizontal="center" vertical="center" textRotation="0" wrapText="0" indent="0" justifyLastLine="0" shrinkToFit="0" readingOrder="0"/>
    </dxf>
    <dxf>
      <border outline="0">
        <top style="thin">
          <color rgb="FF47D359"/>
        </top>
      </border>
    </dxf>
    <dxf>
      <border outline="0">
        <left style="thin">
          <color rgb="FF47D359"/>
        </left>
        <right style="thin">
          <color rgb="FF47D359"/>
        </right>
        <top style="thin">
          <color rgb="FF47D359"/>
        </top>
        <bottom style="thin">
          <color rgb="FF47D359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47D35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Vazirmatn"/>
        <scheme val="none"/>
      </font>
      <fill>
        <patternFill patternType="solid">
          <fgColor rgb="FF196B24"/>
          <bgColor rgb="FF196B2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E1881B-2E13-6B48-A4F3-BC97B3E38A00}" name="Table3" displayName="Table3" ref="G10:T31" totalsRowShown="0" headerRowDxfId="18" dataDxfId="16" headerRowBorderDxfId="17" tableBorderDxfId="15" totalsRowBorderDxfId="14">
  <autoFilter ref="G10:T31" xr:uid="{B22FCC46-062D-7B46-B875-F109CDDB33F4}"/>
  <tableColumns count="14">
    <tableColumn id="1" xr3:uid="{41880755-C8E6-8247-86AA-AE7B7F3E5952}" name="WBS Items" dataDxfId="13"/>
    <tableColumn id="2" xr3:uid="{6D7E0754-B4AA-BF49-9374-E7A9FA77F80A}" name="1" dataDxfId="12">
      <calculatedColumnFormula>$T$12/12</calculatedColumnFormula>
    </tableColumn>
    <tableColumn id="3" xr3:uid="{E31BCA66-2E07-FE4B-B8B2-5BFBE84D6ADE}" name="2" dataDxfId="11"/>
    <tableColumn id="4" xr3:uid="{2A20E636-F679-214C-AE8D-84C6F9314710}" name="3" dataDxfId="10"/>
    <tableColumn id="5" xr3:uid="{43F2C285-E0D9-1B45-B05C-435F0B136952}" name="4" dataDxfId="9"/>
    <tableColumn id="6" xr3:uid="{960FB0E6-D2BF-6C4D-90EB-0749BD3D770E}" name="5" dataDxfId="8"/>
    <tableColumn id="7" xr3:uid="{F99BB4A8-441F-8C43-AD00-1C7D2E048324}" name="6" dataDxfId="7"/>
    <tableColumn id="8" xr3:uid="{CD870094-E4E2-0C4A-AC3E-FD8628A4C95E}" name="7" dataDxfId="6"/>
    <tableColumn id="9" xr3:uid="{780414C8-8A81-DE42-8994-2F9200EDA0BE}" name="8" dataDxfId="5"/>
    <tableColumn id="10" xr3:uid="{0C5E36DC-4B7F-FC43-8D4E-F02676E848C4}" name="9" dataDxfId="4"/>
    <tableColumn id="11" xr3:uid="{44917BA4-B725-0248-A077-9C0E5E0BF38D}" name="10" dataDxfId="3"/>
    <tableColumn id="12" xr3:uid="{BE04F9AE-3C62-AB46-B492-48A4EF4E8B66}" name="11" dataDxfId="2"/>
    <tableColumn id="13" xr3:uid="{2359D9A6-71DD-9440-9320-0A15985553C3}" name="12" dataDxfId="1"/>
    <tableColumn id="14" xr3:uid="{A466C01B-351E-744F-B207-169F60E61E14}" name="Subtotal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2A2A-E776-ED4D-86CB-823F53CA98B8}">
  <dimension ref="A1:B11"/>
  <sheetViews>
    <sheetView zoomScale="113" workbookViewId="0">
      <selection activeCell="A10" sqref="A10"/>
    </sheetView>
  </sheetViews>
  <sheetFormatPr baseColWidth="10" defaultColWidth="8.83203125" defaultRowHeight="18"/>
  <cols>
    <col min="1" max="1" width="58.33203125" style="10" bestFit="1" customWidth="1"/>
    <col min="2" max="2" width="74" style="10" bestFit="1" customWidth="1"/>
    <col min="3" max="16384" width="8.83203125" style="10"/>
  </cols>
  <sheetData>
    <row r="1" spans="1:2" ht="19" customHeight="1">
      <c r="A1" s="31" t="s">
        <v>33</v>
      </c>
      <c r="B1" s="31"/>
    </row>
    <row r="2" spans="1:2" ht="19">
      <c r="A2" s="11" t="s">
        <v>34</v>
      </c>
      <c r="B2" s="11" t="s">
        <v>35</v>
      </c>
    </row>
    <row r="3" spans="1:2" ht="19">
      <c r="A3" s="12" t="s">
        <v>36</v>
      </c>
      <c r="B3" s="12">
        <v>12</v>
      </c>
    </row>
    <row r="4" spans="1:2" ht="19">
      <c r="A4" s="12" t="s">
        <v>37</v>
      </c>
      <c r="B4" s="13">
        <f>44*4</f>
        <v>176</v>
      </c>
    </row>
    <row r="5" spans="1:2" ht="19">
      <c r="A5" s="12" t="s">
        <v>38</v>
      </c>
      <c r="B5" s="13">
        <v>500000</v>
      </c>
    </row>
    <row r="6" spans="1:2" ht="19">
      <c r="A6" s="12" t="s">
        <v>39</v>
      </c>
      <c r="B6" s="13">
        <v>250000</v>
      </c>
    </row>
    <row r="7" spans="1:2" ht="19">
      <c r="A7" s="12" t="s">
        <v>40</v>
      </c>
      <c r="B7" s="13">
        <v>500000</v>
      </c>
    </row>
    <row r="8" spans="1:2" ht="19">
      <c r="A8" s="12" t="s">
        <v>41</v>
      </c>
      <c r="B8" s="14">
        <v>0.2</v>
      </c>
    </row>
    <row r="9" spans="1:2" ht="19">
      <c r="A9" s="12" t="s">
        <v>42</v>
      </c>
      <c r="B9" s="12" t="s">
        <v>43</v>
      </c>
    </row>
    <row r="10" spans="1:2">
      <c r="A10" s="12"/>
      <c r="B10" s="12"/>
    </row>
    <row r="11" spans="1:2">
      <c r="A11" s="12"/>
      <c r="B11" s="12"/>
    </row>
  </sheetData>
  <mergeCells count="1">
    <mergeCell ref="A1:B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16A41-90F3-EA4E-B307-4CE2EA131245}">
  <sheetPr>
    <pageSetUpPr fitToPage="1"/>
  </sheetPr>
  <dimension ref="G10:T35"/>
  <sheetViews>
    <sheetView tabSelected="1" topLeftCell="C1" zoomScale="62" zoomScaleNormal="80" workbookViewId="0">
      <selection activeCell="E16" sqref="E16"/>
    </sheetView>
  </sheetViews>
  <sheetFormatPr baseColWidth="10" defaultRowHeight="14"/>
  <cols>
    <col min="1" max="6" width="10.83203125" style="26"/>
    <col min="7" max="7" width="31" style="26" bestFit="1" customWidth="1"/>
    <col min="8" max="8" width="20.33203125" style="26" bestFit="1" customWidth="1"/>
    <col min="9" max="10" width="18.6640625" style="26" bestFit="1" customWidth="1"/>
    <col min="11" max="16" width="20.33203125" style="26" bestFit="1" customWidth="1"/>
    <col min="17" max="19" width="20.33203125" style="26" customWidth="1"/>
    <col min="20" max="20" width="21.33203125" style="26" bestFit="1" customWidth="1"/>
    <col min="21" max="16384" width="10.83203125" style="26"/>
  </cols>
  <sheetData>
    <row r="10" spans="7:20" ht="18">
      <c r="G10" s="25" t="s">
        <v>0</v>
      </c>
      <c r="H10" s="25" t="s">
        <v>1</v>
      </c>
      <c r="I10" s="25" t="s">
        <v>2</v>
      </c>
      <c r="J10" s="25" t="s">
        <v>3</v>
      </c>
      <c r="K10" s="25" t="s">
        <v>4</v>
      </c>
      <c r="L10" s="25" t="s">
        <v>5</v>
      </c>
      <c r="M10" s="25" t="s">
        <v>6</v>
      </c>
      <c r="N10" s="25" t="s">
        <v>7</v>
      </c>
      <c r="O10" s="25" t="s">
        <v>8</v>
      </c>
      <c r="P10" s="25" t="s">
        <v>9</v>
      </c>
      <c r="Q10" s="25" t="s">
        <v>10</v>
      </c>
      <c r="R10" s="25" t="s">
        <v>11</v>
      </c>
      <c r="S10" s="25" t="s">
        <v>12</v>
      </c>
      <c r="T10" s="25" t="s">
        <v>13</v>
      </c>
    </row>
    <row r="11" spans="7:20" ht="18">
      <c r="G11" s="15" t="s">
        <v>14</v>
      </c>
      <c r="H11" s="1"/>
      <c r="I11" s="2"/>
      <c r="J11" s="2"/>
      <c r="K11" s="2"/>
      <c r="L11" s="2"/>
      <c r="M11" s="2"/>
      <c r="N11" s="27"/>
      <c r="O11" s="4"/>
      <c r="P11" s="16"/>
      <c r="Q11" s="16"/>
      <c r="R11" s="16"/>
      <c r="S11" s="16"/>
      <c r="T11" s="17">
        <f>SUM(T12:T13)</f>
        <v>1320000000</v>
      </c>
    </row>
    <row r="12" spans="7:20" ht="18">
      <c r="G12" s="18" t="s">
        <v>15</v>
      </c>
      <c r="H12" s="1">
        <f t="shared" ref="H12:S12" si="0">$T$12/12</f>
        <v>88000000</v>
      </c>
      <c r="I12" s="1">
        <f t="shared" si="0"/>
        <v>88000000</v>
      </c>
      <c r="J12" s="1">
        <f t="shared" si="0"/>
        <v>88000000</v>
      </c>
      <c r="K12" s="1">
        <f t="shared" si="0"/>
        <v>88000000</v>
      </c>
      <c r="L12" s="1">
        <f t="shared" si="0"/>
        <v>88000000</v>
      </c>
      <c r="M12" s="1">
        <f t="shared" si="0"/>
        <v>88000000</v>
      </c>
      <c r="N12" s="1">
        <f t="shared" si="0"/>
        <v>88000000</v>
      </c>
      <c r="O12" s="1">
        <f t="shared" si="0"/>
        <v>88000000</v>
      </c>
      <c r="P12" s="1">
        <f t="shared" si="0"/>
        <v>88000000</v>
      </c>
      <c r="Q12" s="1">
        <f t="shared" si="0"/>
        <v>88000000</v>
      </c>
      <c r="R12" s="1">
        <f t="shared" si="0"/>
        <v>88000000</v>
      </c>
      <c r="S12" s="1">
        <f t="shared" si="0"/>
        <v>88000000</v>
      </c>
      <c r="T12" s="3">
        <v>1056000000</v>
      </c>
    </row>
    <row r="13" spans="7:20" ht="18">
      <c r="G13" s="19" t="s">
        <v>16</v>
      </c>
      <c r="H13" s="4"/>
      <c r="I13" s="4"/>
      <c r="J13" s="4"/>
      <c r="K13" s="4">
        <f>$T$13/6</f>
        <v>44000000</v>
      </c>
      <c r="L13" s="4">
        <f t="shared" ref="L13:P13" si="1">$T$13/6</f>
        <v>44000000</v>
      </c>
      <c r="M13" s="4">
        <f t="shared" si="1"/>
        <v>44000000</v>
      </c>
      <c r="N13" s="4">
        <f t="shared" si="1"/>
        <v>44000000</v>
      </c>
      <c r="O13" s="4">
        <f t="shared" si="1"/>
        <v>44000000</v>
      </c>
      <c r="P13" s="4">
        <f t="shared" si="1"/>
        <v>44000000</v>
      </c>
      <c r="Q13" s="4"/>
      <c r="R13" s="4"/>
      <c r="S13" s="4"/>
      <c r="T13" s="3">
        <v>264000000</v>
      </c>
    </row>
    <row r="14" spans="7:20" ht="18">
      <c r="G14" s="20" t="s">
        <v>17</v>
      </c>
      <c r="H14" s="1"/>
      <c r="I14" s="1"/>
      <c r="J14" s="1"/>
      <c r="K14" s="1"/>
      <c r="L14" s="1"/>
      <c r="M14" s="1"/>
      <c r="N14" s="6"/>
      <c r="O14" s="1"/>
      <c r="P14" s="1"/>
      <c r="Q14" s="1"/>
      <c r="R14" s="1"/>
      <c r="S14" s="1"/>
      <c r="T14" s="5">
        <f>SUM(T15:T16)</f>
        <v>3432000000</v>
      </c>
    </row>
    <row r="15" spans="7:20" ht="18">
      <c r="G15" s="19" t="s">
        <v>18</v>
      </c>
      <c r="H15" s="4">
        <f>$T$15/12</f>
        <v>264000000</v>
      </c>
      <c r="I15" s="4">
        <f t="shared" ref="I15:S15" si="2">$T$15/12</f>
        <v>264000000</v>
      </c>
      <c r="J15" s="4">
        <f t="shared" si="2"/>
        <v>264000000</v>
      </c>
      <c r="K15" s="4">
        <f t="shared" si="2"/>
        <v>264000000</v>
      </c>
      <c r="L15" s="4">
        <f t="shared" si="2"/>
        <v>264000000</v>
      </c>
      <c r="M15" s="4">
        <f t="shared" si="2"/>
        <v>264000000</v>
      </c>
      <c r="N15" s="4">
        <f t="shared" si="2"/>
        <v>264000000</v>
      </c>
      <c r="O15" s="4">
        <f t="shared" si="2"/>
        <v>264000000</v>
      </c>
      <c r="P15" s="4">
        <f t="shared" si="2"/>
        <v>264000000</v>
      </c>
      <c r="Q15" s="4">
        <f t="shared" si="2"/>
        <v>264000000</v>
      </c>
      <c r="R15" s="4">
        <f t="shared" si="2"/>
        <v>264000000</v>
      </c>
      <c r="S15" s="4">
        <f t="shared" si="2"/>
        <v>264000000</v>
      </c>
      <c r="T15" s="3">
        <v>3168000000</v>
      </c>
    </row>
    <row r="16" spans="7:20" ht="18">
      <c r="G16" s="18" t="s">
        <v>16</v>
      </c>
      <c r="H16" s="1"/>
      <c r="I16" s="1"/>
      <c r="J16" s="1"/>
      <c r="K16" s="1">
        <f>$T$16/6</f>
        <v>44000000</v>
      </c>
      <c r="L16" s="1">
        <f t="shared" ref="L16:P16" si="3">$T$16/6</f>
        <v>44000000</v>
      </c>
      <c r="M16" s="1">
        <f t="shared" si="3"/>
        <v>44000000</v>
      </c>
      <c r="N16" s="1">
        <f t="shared" si="3"/>
        <v>44000000</v>
      </c>
      <c r="O16" s="1">
        <f t="shared" si="3"/>
        <v>44000000</v>
      </c>
      <c r="P16" s="1">
        <f t="shared" si="3"/>
        <v>44000000</v>
      </c>
      <c r="Q16" s="1"/>
      <c r="R16" s="1"/>
      <c r="S16" s="1"/>
      <c r="T16" s="3">
        <v>264000000</v>
      </c>
    </row>
    <row r="17" spans="7:20" ht="18">
      <c r="G17" s="15" t="s">
        <v>19</v>
      </c>
      <c r="H17" s="4"/>
      <c r="I17" s="4"/>
      <c r="J17" s="4"/>
      <c r="K17" s="4"/>
      <c r="L17" s="4"/>
      <c r="M17" s="4"/>
      <c r="N17" s="27"/>
      <c r="O17" s="4"/>
      <c r="P17" s="4"/>
      <c r="Q17" s="4"/>
      <c r="R17" s="4"/>
      <c r="S17" s="4"/>
      <c r="T17" s="5">
        <f>SUM(T18:T19)</f>
        <v>6056000000</v>
      </c>
    </row>
    <row r="18" spans="7:20" ht="18">
      <c r="G18" s="18" t="s">
        <v>20</v>
      </c>
      <c r="H18" s="3">
        <f>$T$18/12</f>
        <v>88000000</v>
      </c>
      <c r="I18" s="1">
        <f t="shared" ref="I18:S18" si="4">$T$18/12</f>
        <v>88000000</v>
      </c>
      <c r="J18" s="1">
        <f t="shared" si="4"/>
        <v>88000000</v>
      </c>
      <c r="K18" s="1">
        <f t="shared" si="4"/>
        <v>88000000</v>
      </c>
      <c r="L18" s="1">
        <f t="shared" si="4"/>
        <v>88000000</v>
      </c>
      <c r="M18" s="1">
        <f t="shared" si="4"/>
        <v>88000000</v>
      </c>
      <c r="N18" s="1">
        <f t="shared" si="4"/>
        <v>88000000</v>
      </c>
      <c r="O18" s="1">
        <f t="shared" si="4"/>
        <v>88000000</v>
      </c>
      <c r="P18" s="1">
        <f t="shared" si="4"/>
        <v>88000000</v>
      </c>
      <c r="Q18" s="1">
        <f t="shared" si="4"/>
        <v>88000000</v>
      </c>
      <c r="R18" s="1">
        <f t="shared" si="4"/>
        <v>88000000</v>
      </c>
      <c r="S18" s="1">
        <f t="shared" si="4"/>
        <v>88000000</v>
      </c>
      <c r="T18" s="3">
        <v>1056000000</v>
      </c>
    </row>
    <row r="19" spans="7:20" ht="18">
      <c r="G19" s="19" t="s">
        <v>21</v>
      </c>
      <c r="H19" s="3">
        <f>$T$19</f>
        <v>5000000000</v>
      </c>
      <c r="I19" s="4"/>
      <c r="J19" s="4"/>
      <c r="K19" s="4"/>
      <c r="L19" s="4"/>
      <c r="M19" s="4"/>
      <c r="N19" s="27"/>
      <c r="O19" s="4"/>
      <c r="P19" s="4"/>
      <c r="Q19" s="4"/>
      <c r="R19" s="4"/>
      <c r="S19" s="4"/>
      <c r="T19" s="3">
        <v>5000000000</v>
      </c>
    </row>
    <row r="20" spans="7:20" ht="18">
      <c r="G20" s="20" t="s">
        <v>22</v>
      </c>
      <c r="H20" s="1"/>
      <c r="I20" s="1"/>
      <c r="J20" s="1"/>
      <c r="K20" s="1"/>
      <c r="L20" s="1"/>
      <c r="M20" s="1"/>
      <c r="N20" s="6"/>
      <c r="O20" s="1"/>
      <c r="P20" s="1"/>
      <c r="Q20" s="1"/>
      <c r="R20" s="1"/>
      <c r="S20" s="1"/>
      <c r="T20" s="5">
        <f>SUM(T21:T22)</f>
        <v>3432000000</v>
      </c>
    </row>
    <row r="21" spans="7:20" ht="18">
      <c r="G21" s="19" t="s">
        <v>23</v>
      </c>
      <c r="H21" s="4">
        <f>$T$21/12</f>
        <v>264000000</v>
      </c>
      <c r="I21" s="4">
        <f t="shared" ref="I21:S21" si="5">$T$21/12</f>
        <v>264000000</v>
      </c>
      <c r="J21" s="4">
        <f t="shared" si="5"/>
        <v>264000000</v>
      </c>
      <c r="K21" s="4">
        <f t="shared" si="5"/>
        <v>264000000</v>
      </c>
      <c r="L21" s="4">
        <f t="shared" si="5"/>
        <v>264000000</v>
      </c>
      <c r="M21" s="4">
        <f t="shared" si="5"/>
        <v>264000000</v>
      </c>
      <c r="N21" s="4">
        <f t="shared" si="5"/>
        <v>264000000</v>
      </c>
      <c r="O21" s="4">
        <f t="shared" si="5"/>
        <v>264000000</v>
      </c>
      <c r="P21" s="4">
        <f t="shared" si="5"/>
        <v>264000000</v>
      </c>
      <c r="Q21" s="4">
        <f t="shared" si="5"/>
        <v>264000000</v>
      </c>
      <c r="R21" s="4">
        <f t="shared" si="5"/>
        <v>264000000</v>
      </c>
      <c r="S21" s="4">
        <f t="shared" si="5"/>
        <v>264000000</v>
      </c>
      <c r="T21" s="3">
        <v>3168000000</v>
      </c>
    </row>
    <row r="22" spans="7:20" ht="18">
      <c r="G22" s="18" t="s">
        <v>16</v>
      </c>
      <c r="H22" s="1"/>
      <c r="I22" s="1"/>
      <c r="J22" s="1"/>
      <c r="K22" s="1">
        <f>$T$22/6</f>
        <v>44000000</v>
      </c>
      <c r="L22" s="1">
        <f t="shared" ref="L22:P22" si="6">$T$22/6</f>
        <v>44000000</v>
      </c>
      <c r="M22" s="1">
        <f t="shared" si="6"/>
        <v>44000000</v>
      </c>
      <c r="N22" s="1">
        <f t="shared" si="6"/>
        <v>44000000</v>
      </c>
      <c r="O22" s="1">
        <f t="shared" si="6"/>
        <v>44000000</v>
      </c>
      <c r="P22" s="1">
        <f t="shared" si="6"/>
        <v>44000000</v>
      </c>
      <c r="Q22" s="1"/>
      <c r="R22" s="1"/>
      <c r="S22" s="1"/>
      <c r="T22" s="3">
        <v>264000000</v>
      </c>
    </row>
    <row r="23" spans="7:20" ht="18">
      <c r="G23" s="15" t="s">
        <v>24</v>
      </c>
      <c r="H23" s="4"/>
      <c r="I23" s="4"/>
      <c r="J23" s="4"/>
      <c r="K23" s="4"/>
      <c r="L23" s="4"/>
      <c r="M23" s="4"/>
      <c r="N23" s="27"/>
      <c r="O23" s="4"/>
      <c r="P23" s="4"/>
      <c r="Q23" s="4"/>
      <c r="R23" s="4"/>
      <c r="S23" s="4"/>
      <c r="T23" s="5">
        <f>SUM(T24:T25)</f>
        <v>3584000000</v>
      </c>
    </row>
    <row r="24" spans="7:20" ht="18">
      <c r="G24" s="18" t="s">
        <v>25</v>
      </c>
      <c r="H24" s="1"/>
      <c r="I24" s="1"/>
      <c r="J24" s="1"/>
      <c r="K24" s="1"/>
      <c r="L24" s="1"/>
      <c r="M24" s="1"/>
      <c r="N24" s="1">
        <f>$T$24/2</f>
        <v>1292000000</v>
      </c>
      <c r="O24" s="1">
        <f>$T$24/2</f>
        <v>1292000000</v>
      </c>
      <c r="P24" s="1"/>
      <c r="Q24" s="1"/>
      <c r="R24" s="1"/>
      <c r="S24" s="1"/>
      <c r="T24" s="3">
        <v>2584000000</v>
      </c>
    </row>
    <row r="25" spans="7:20" ht="18">
      <c r="G25" s="19" t="s">
        <v>26</v>
      </c>
      <c r="H25" s="4">
        <f>$T$25</f>
        <v>1000000000</v>
      </c>
      <c r="I25" s="4"/>
      <c r="J25" s="4"/>
      <c r="K25" s="4"/>
      <c r="L25" s="4"/>
      <c r="M25" s="4"/>
      <c r="N25" s="27"/>
      <c r="O25" s="4"/>
      <c r="P25" s="4"/>
      <c r="Q25" s="4"/>
      <c r="R25" s="4"/>
      <c r="S25" s="4"/>
      <c r="T25" s="3">
        <v>1000000000</v>
      </c>
    </row>
    <row r="26" spans="7:20" ht="18">
      <c r="G26" s="20" t="s">
        <v>27</v>
      </c>
      <c r="H26" s="1"/>
      <c r="I26" s="1"/>
      <c r="J26" s="1"/>
      <c r="K26" s="1"/>
      <c r="L26" s="1"/>
      <c r="M26" s="1"/>
      <c r="N26" s="6"/>
      <c r="O26" s="1"/>
      <c r="P26" s="3">
        <v>1292000000</v>
      </c>
      <c r="Q26" s="1"/>
      <c r="R26" s="1"/>
      <c r="S26" s="1"/>
      <c r="T26" s="5">
        <v>1292000000</v>
      </c>
    </row>
    <row r="27" spans="7:20" ht="18">
      <c r="G27" s="15" t="s">
        <v>28</v>
      </c>
      <c r="H27" s="4"/>
      <c r="I27" s="4"/>
      <c r="J27" s="4"/>
      <c r="K27" s="4"/>
      <c r="L27" s="4"/>
      <c r="M27" s="4"/>
      <c r="N27" s="27"/>
      <c r="O27" s="4"/>
      <c r="P27" s="4"/>
      <c r="Q27" s="4"/>
      <c r="R27" s="4"/>
      <c r="S27" s="4"/>
      <c r="T27" s="5">
        <f>SUM(T28:T29)</f>
        <v>2028000000</v>
      </c>
    </row>
    <row r="28" spans="7:20" ht="18">
      <c r="G28" s="18" t="s">
        <v>29</v>
      </c>
      <c r="H28" s="1"/>
      <c r="I28" s="1"/>
      <c r="J28" s="1"/>
      <c r="K28" s="1"/>
      <c r="L28" s="1"/>
      <c r="M28" s="1"/>
      <c r="N28" s="6"/>
      <c r="O28" s="1"/>
      <c r="P28" s="1"/>
      <c r="Q28" s="1">
        <f>$T$28/3</f>
        <v>176000000</v>
      </c>
      <c r="R28" s="1">
        <f t="shared" ref="R28:S28" si="7">$T$28/3</f>
        <v>176000000</v>
      </c>
      <c r="S28" s="1">
        <f t="shared" si="7"/>
        <v>176000000</v>
      </c>
      <c r="T28" s="3">
        <v>528000000</v>
      </c>
    </row>
    <row r="29" spans="7:20" ht="18">
      <c r="G29" s="19" t="s">
        <v>30</v>
      </c>
      <c r="H29" s="4"/>
      <c r="I29" s="4"/>
      <c r="J29" s="4"/>
      <c r="K29" s="4"/>
      <c r="L29" s="4"/>
      <c r="M29" s="4"/>
      <c r="N29" s="27"/>
      <c r="O29" s="4"/>
      <c r="P29" s="4"/>
      <c r="Q29" s="4">
        <f>$T$29/3</f>
        <v>500000000</v>
      </c>
      <c r="R29" s="4">
        <f t="shared" ref="R29:S29" si="8">$T$29/3</f>
        <v>500000000</v>
      </c>
      <c r="S29" s="4">
        <f t="shared" si="8"/>
        <v>500000000</v>
      </c>
      <c r="T29" s="3">
        <v>1500000000</v>
      </c>
    </row>
    <row r="30" spans="7:20" ht="18">
      <c r="G30" s="28" t="s">
        <v>31</v>
      </c>
      <c r="H30" s="3"/>
      <c r="I30" s="3"/>
      <c r="J30" s="3">
        <f>0.05*Table3[[#This Row],[Subtotal]]</f>
        <v>211440000</v>
      </c>
      <c r="K30" s="3">
        <f>0.05*Table3[[#This Row],[Subtotal]]</f>
        <v>211440000</v>
      </c>
      <c r="L30" s="3">
        <f>0.05*Table3[[#This Row],[Subtotal]]</f>
        <v>211440000</v>
      </c>
      <c r="M30" s="3">
        <f>0.05*Table3[[#This Row],[Subtotal]]</f>
        <v>211440000</v>
      </c>
      <c r="N30" s="3">
        <f>0.2*Table3[[#This Row],[Subtotal]]</f>
        <v>845760000</v>
      </c>
      <c r="O30" s="3">
        <f>0.2*Table3[[#This Row],[Subtotal]]</f>
        <v>845760000</v>
      </c>
      <c r="P30" s="3">
        <f>0.1*Table3[[#This Row],[Subtotal]]</f>
        <v>422880000</v>
      </c>
      <c r="Q30" s="3">
        <f>0.1*Table3[[#This Row],[Subtotal]]</f>
        <v>422880000</v>
      </c>
      <c r="R30" s="3">
        <f>0.1*Table3[[#This Row],[Subtotal]]</f>
        <v>422880000</v>
      </c>
      <c r="S30" s="3">
        <f>0.1*Table3[[#This Row],[Subtotal]]</f>
        <v>422880000</v>
      </c>
      <c r="T30" s="5">
        <v>4228800000</v>
      </c>
    </row>
    <row r="31" spans="7:20" ht="18">
      <c r="G31" s="6" t="s">
        <v>32</v>
      </c>
      <c r="H31" s="32">
        <f>SUM(H11:H30)</f>
        <v>6704000000</v>
      </c>
      <c r="I31" s="32">
        <f>SUM(I11:I30)</f>
        <v>704000000</v>
      </c>
      <c r="J31" s="32">
        <f t="shared" ref="J31:S31" si="9">SUM(J11:J30)</f>
        <v>915440000</v>
      </c>
      <c r="K31" s="32">
        <f t="shared" si="9"/>
        <v>1047440000</v>
      </c>
      <c r="L31" s="32">
        <f t="shared" si="9"/>
        <v>1047440000</v>
      </c>
      <c r="M31" s="32">
        <f>SUM(M11:M30)</f>
        <v>1047440000</v>
      </c>
      <c r="N31" s="32">
        <f t="shared" si="9"/>
        <v>2973760000</v>
      </c>
      <c r="O31" s="32">
        <f>SUM(O11:O30)</f>
        <v>2973760000</v>
      </c>
      <c r="P31" s="32">
        <f t="shared" si="9"/>
        <v>2550880000</v>
      </c>
      <c r="Q31" s="32">
        <f>SUM(Q11:Q30)</f>
        <v>1802880000</v>
      </c>
      <c r="R31" s="32">
        <f t="shared" si="9"/>
        <v>1802880000</v>
      </c>
      <c r="S31" s="32">
        <f t="shared" si="9"/>
        <v>1802880000</v>
      </c>
      <c r="T31" s="32">
        <f>SUM(T11,T14,T17,T20,T23,T26,T27,T30)</f>
        <v>25372800000</v>
      </c>
    </row>
    <row r="32" spans="7:20" ht="18">
      <c r="G32" s="21"/>
      <c r="H32" s="7"/>
      <c r="I32" s="7"/>
      <c r="J32" s="8"/>
      <c r="K32" s="7"/>
      <c r="L32" s="3"/>
      <c r="M32" s="3"/>
      <c r="N32" s="5"/>
      <c r="O32" s="22"/>
    </row>
    <row r="33" spans="7:15" ht="18">
      <c r="G33" s="23"/>
      <c r="H33" s="7"/>
      <c r="I33" s="7"/>
      <c r="J33" s="8"/>
      <c r="K33" s="7"/>
      <c r="L33" s="3"/>
      <c r="M33" s="29"/>
      <c r="N33" s="5"/>
      <c r="O33" s="22"/>
    </row>
    <row r="34" spans="7:15" ht="18">
      <c r="G34" s="24"/>
      <c r="H34" s="7"/>
      <c r="I34" s="7"/>
      <c r="J34" s="8"/>
      <c r="K34" s="9"/>
      <c r="L34" s="3"/>
      <c r="M34" s="3"/>
      <c r="N34" s="5"/>
      <c r="O34" s="22"/>
    </row>
    <row r="35" spans="7:15" ht="18">
      <c r="G35" s="23"/>
      <c r="H35" s="7"/>
      <c r="I35" s="7"/>
      <c r="J35" s="8"/>
      <c r="K35" s="9"/>
      <c r="L35" s="3"/>
      <c r="M35" s="3"/>
      <c r="N35" s="30"/>
      <c r="O35" s="22"/>
    </row>
  </sheetData>
  <pageMargins left="0.25" right="0.25" top="0.75" bottom="0.75" header="0.3" footer="0.3"/>
  <pageSetup paperSize="9" scale="37" orientation="landscape" horizontalDpi="0" verticalDpi="0"/>
  <ignoredErrors>
    <ignoredError sqref="H15 H18:H19 H21 H25 H31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Cost 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Majid Sadeghinejad</dc:creator>
  <cp:lastModifiedBy>Majid Sadeghinejad</cp:lastModifiedBy>
  <cp:lastPrinted>2026-06-07T02:59:41Z</cp:lastPrinted>
  <dcterms:created xsi:type="dcterms:W3CDTF">2026-06-07T02:31:32Z</dcterms:created>
  <dcterms:modified xsi:type="dcterms:W3CDTF">2026-06-07T03:29:43Z</dcterms:modified>
</cp:coreProperties>
</file>